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harts" sheetId="2" state="visible" r:id="rId2"/>
    <sheet xmlns:r="http://schemas.openxmlformats.org/officeDocument/2006/relationships" name="Notes" sheetId="3" state="visible" r:id="rId3"/>
  </sheets>
  <definedNames>
    <definedName name="_xlnm._FilterDatabase" localSheetId="0" hidden="1">'Results'!$A$2:$T$14</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5">
    <font>
      <name val="Calibri"/>
      <family val="2"/>
      <color theme="1"/>
      <sz val="11"/>
      <scheme val="minor"/>
    </font>
    <font>
      <b val="1"/>
      <color rgb="001F3B33"/>
      <sz val="9"/>
    </font>
    <font>
      <b val="1"/>
      <color rgb="00FFFFFF"/>
      <sz val="10"/>
    </font>
    <font>
      <b val="1"/>
      <sz val="10"/>
    </font>
    <font>
      <b val="1"/>
      <color rgb="001F3B33"/>
      <sz val="11"/>
    </font>
  </fonts>
  <fills count="6">
    <fill>
      <patternFill/>
    </fill>
    <fill>
      <patternFill patternType="gray125"/>
    </fill>
    <fill>
      <patternFill patternType="solid">
        <fgColor rgb="00DCE8E2"/>
      </patternFill>
    </fill>
    <fill>
      <patternFill patternType="solid">
        <fgColor rgb="001F3B33"/>
      </patternFill>
    </fill>
    <fill>
      <patternFill patternType="solid">
        <fgColor rgb="00F2E2D2"/>
      </patternFill>
    </fill>
    <fill>
      <patternFill patternType="solid">
        <fgColor rgb="00D6EAD9"/>
      </patternFill>
    </fill>
  </fills>
  <borders count="2">
    <border>
      <left/>
      <right/>
      <top/>
      <bottom/>
      <diagonal/>
    </border>
    <border>
      <bottom style="thin">
        <color rgb="00C3CEC5"/>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xf>
    <xf numFmtId="0" fontId="2" fillId="3" borderId="1" applyAlignment="1" pivotButton="0" quotePrefix="0" xfId="0">
      <alignment horizontal="center" vertical="center" wrapText="1"/>
    </xf>
    <xf numFmtId="0" fontId="3" fillId="0" borderId="1" pivotButton="0" quotePrefix="0" xfId="0"/>
    <xf numFmtId="164" fontId="0" fillId="0" borderId="1" applyAlignment="1" pivotButton="0" quotePrefix="0" xfId="0">
      <alignment horizontal="right"/>
    </xf>
    <xf numFmtId="165" fontId="0" fillId="0" borderId="1" applyAlignment="1" pivotButton="0" quotePrefix="0" xfId="0">
      <alignment horizontal="right"/>
    </xf>
    <xf numFmtId="2" fontId="0" fillId="0" borderId="1" applyAlignment="1" pivotButton="0" quotePrefix="0" xfId="0">
      <alignment horizontal="right"/>
    </xf>
    <xf numFmtId="1" fontId="0" fillId="0" borderId="1" applyAlignment="1" pivotButton="0" quotePrefix="0" xfId="0">
      <alignment horizontal="right"/>
    </xf>
    <xf numFmtId="164" fontId="3" fillId="5" borderId="1" applyAlignment="1" pivotButton="0" quotePrefix="0" xfId="0">
      <alignment horizontal="right"/>
    </xf>
    <xf numFmtId="2" fontId="3" fillId="5" borderId="1" applyAlignment="1" pivotButton="0" quotePrefix="0" xfId="0">
      <alignment horizontal="right"/>
    </xf>
    <xf numFmtId="0" fontId="3" fillId="4" borderId="1" pivotButton="0" quotePrefix="0" xfId="0"/>
    <xf numFmtId="164" fontId="0" fillId="4" borderId="1" applyAlignment="1" pivotButton="0" quotePrefix="0" xfId="0">
      <alignment horizontal="right"/>
    </xf>
    <xf numFmtId="165" fontId="0" fillId="4" borderId="1" applyAlignment="1" pivotButton="0" quotePrefix="0" xfId="0">
      <alignment horizontal="right"/>
    </xf>
    <xf numFmtId="0" fontId="0" fillId="4" borderId="1" applyAlignment="1" pivotButton="0" quotePrefix="0" xfId="0">
      <alignment horizontal="right"/>
    </xf>
    <xf numFmtId="2" fontId="0" fillId="4" borderId="1" applyAlignment="1" pivotButton="0" quotePrefix="0" xfId="0">
      <alignment horizontal="right"/>
    </xf>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Detection at matched false-alarm budgets (comparable)</a:t>
            </a:r>
          </a:p>
        </rich>
      </tx>
    </title>
    <plotArea>
      <barChart>
        <barDir val="col"/>
        <grouping val="clustered"/>
        <ser>
          <idx val="0"/>
          <order val="0"/>
          <tx>
            <strRef>
              <f>'Results'!B2</f>
            </strRef>
          </tx>
          <spPr>
            <a:ln xmlns:a="http://schemas.openxmlformats.org/drawingml/2006/main">
              <a:prstDash val="solid"/>
            </a:ln>
          </spPr>
          <cat>
            <numRef>
              <f>'Results'!$A$3:$A$14</f>
            </numRef>
          </cat>
          <val>
            <numRef>
              <f>'Results'!$B$3:$B$14</f>
            </numRef>
          </val>
        </ser>
        <ser>
          <idx val="1"/>
          <order val="1"/>
          <tx>
            <strRef>
              <f>'Results'!C2</f>
            </strRef>
          </tx>
          <spPr>
            <a:ln xmlns:a="http://schemas.openxmlformats.org/drawingml/2006/main">
              <a:prstDash val="solid"/>
            </a:ln>
          </spPr>
          <cat>
            <numRef>
              <f>'Results'!$A$3:$A$14</f>
            </numRef>
          </cat>
          <val>
            <numRef>
              <f>'Results'!$C$3:$C$14</f>
            </numRef>
          </val>
        </ser>
        <ser>
          <idx val="2"/>
          <order val="2"/>
          <tx>
            <strRef>
              <f>'Results'!D2</f>
            </strRef>
          </tx>
          <spPr>
            <a:ln xmlns:a="http://schemas.openxmlformats.org/drawingml/2006/main">
              <a:prstDash val="solid"/>
            </a:ln>
          </spPr>
          <cat>
            <numRef>
              <f>'Results'!$A$3:$A$14</f>
            </numRef>
          </cat>
          <val>
            <numRef>
              <f>'Results'!$D$3:$D$14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detection %</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Detection at 10% false alarms against throughput</a:t>
            </a:r>
          </a:p>
        </rich>
      </tx>
    </title>
    <plotArea>
      <scatterChart>
        <ser>
          <idx val="0"/>
          <order val="0"/>
          <tx>
            <strRef>
              <f>'Results'!C2</f>
            </strRef>
          </tx>
          <spPr>
            <a:ln xmlns:a="http://schemas.openxmlformats.org/drawingml/2006/main">
              <a:noFill/>
              <a:prstDash val="solid"/>
            </a:ln>
          </spPr>
          <marker>
            <symbol val="circle"/>
            <spPr>
              <a:ln xmlns:a="http://schemas.openxmlformats.org/drawingml/2006/main">
                <a:prstDash val="solid"/>
              </a:ln>
            </spPr>
          </marker>
          <xVal>
            <numRef>
              <f>'Results'!$N$3:$N$14</f>
            </numRef>
          </xVal>
          <yVal>
            <numRef>
              <f>'Results'!$C$3:$C$14</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FPS</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detection % @10% FA</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0</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19</row>
      <rowOff>0</rowOff>
    </from>
    <ext cx="792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T1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c r="B1" s="1" t="inlineStr">
        <is>
          <t>Detection at matched false alarms</t>
        </is>
      </c>
      <c r="E1" s="1" t="inlineStr">
        <is>
          <t>At each arm's synthetic threshold</t>
        </is>
      </c>
      <c r="J1" s="1" t="inlineStr">
        <is>
          <t>Upper bound</t>
        </is>
      </c>
      <c r="K1" s="1" t="inlineStr">
        <is>
          <t>Synthetic validation</t>
        </is>
      </c>
      <c r="M1" s="1" t="inlineStr">
        <is>
          <t>Cost</t>
        </is>
      </c>
      <c r="R1" s="1" t="inlineStr">
        <is>
          <t>Training</t>
        </is>
      </c>
    </row>
    <row r="2" ht="32" customHeight="1">
      <c r="A2" s="2" t="inlineStr">
        <is>
          <t>Model</t>
        </is>
      </c>
      <c r="B2" s="2" t="inlineStr">
        <is>
          <t>@5% FA</t>
        </is>
      </c>
      <c r="C2" s="2" t="inlineStr">
        <is>
          <t>@10% FA</t>
        </is>
      </c>
      <c r="D2" s="2" t="inlineStr">
        <is>
          <t>@15% FA</t>
        </is>
      </c>
      <c r="E2" s="2" t="inlineStr">
        <is>
          <t>Screening detection %</t>
        </is>
      </c>
      <c r="F2" s="2" t="inlineStr">
        <is>
          <t>False alarm %</t>
        </is>
      </c>
      <c r="G2" s="2" t="inlineStr">
        <is>
          <t>Precision</t>
        </is>
      </c>
      <c r="H2" s="2" t="inlineStr">
        <is>
          <t>Recall</t>
        </is>
      </c>
      <c r="I2" s="2" t="inlineStr">
        <is>
          <t>F1</t>
        </is>
      </c>
      <c r="J2" s="2" t="inlineStr">
        <is>
          <t>Oracle detection %</t>
        </is>
      </c>
      <c r="K2" s="2" t="inlineStr">
        <is>
          <t>mAP@50</t>
        </is>
      </c>
      <c r="L2" s="2" t="inlineStr">
        <is>
          <t>mAP@50:95</t>
        </is>
      </c>
      <c r="M2" s="2" t="inlineStr">
        <is>
          <t>Latency ms</t>
        </is>
      </c>
      <c r="N2" s="2" t="inlineStr">
        <is>
          <t>FPS</t>
        </is>
      </c>
      <c r="O2" s="2" t="inlineStr">
        <is>
          <t>Parameters M (fused)</t>
        </is>
      </c>
      <c r="P2" s="2" t="inlineStr">
        <is>
          <t>GFLOPs</t>
        </is>
      </c>
      <c r="Q2" s="2" t="inlineStr">
        <is>
          <t>Weights MB</t>
        </is>
      </c>
      <c r="R2" s="2" t="inlineStr">
        <is>
          <t>Epochs run</t>
        </is>
      </c>
      <c r="S2" s="2" t="inlineStr">
        <is>
          <t>Best epoch</t>
        </is>
      </c>
      <c r="T2" s="2" t="inlineStr">
        <is>
          <t>Training min</t>
        </is>
      </c>
    </row>
    <row r="3">
      <c r="A3" s="3" t="inlineStr">
        <is>
          <t>YOLOv8s</t>
        </is>
      </c>
      <c r="B3" s="4" t="n">
        <v>73.38501291989664</v>
      </c>
      <c r="C3" s="4" t="n">
        <v>82.42894056847545</v>
      </c>
      <c r="D3" s="4" t="n">
        <v>85.27131782945736</v>
      </c>
      <c r="E3" s="4" t="n">
        <v>74.42</v>
      </c>
      <c r="F3" s="4" t="n">
        <v>5.76</v>
      </c>
      <c r="G3" s="5" t="n">
        <v>0.8701</v>
      </c>
      <c r="H3" s="5" t="n">
        <v>0.7442</v>
      </c>
      <c r="I3" s="5" t="n">
        <v>0.8022</v>
      </c>
      <c r="J3" s="4" t="n">
        <v>81.91000000000001</v>
      </c>
      <c r="K3" s="5" t="n">
        <v>0.5359410183773258</v>
      </c>
      <c r="L3" s="5" t="n">
        <v>0.3456263081957504</v>
      </c>
      <c r="M3" s="4" t="n">
        <v>10.08</v>
      </c>
      <c r="N3" s="4" t="n">
        <v>99.2</v>
      </c>
      <c r="O3" s="6" t="n">
        <v>11.125971</v>
      </c>
      <c r="P3" s="4" t="n">
        <v>28.44</v>
      </c>
      <c r="Q3" s="4" t="n">
        <v>22.53</v>
      </c>
      <c r="R3" s="7" t="n">
        <v>150</v>
      </c>
      <c r="S3" s="7" t="n">
        <v>124</v>
      </c>
      <c r="T3" s="4" t="n">
        <v>37.96333333333334</v>
      </c>
    </row>
    <row r="4">
      <c r="A4" s="3" t="inlineStr">
        <is>
          <t>YOLOv11s</t>
        </is>
      </c>
      <c r="B4" s="8" t="n">
        <v>77.77777777777779</v>
      </c>
      <c r="C4" s="4" t="n">
        <v>84.75452196382429</v>
      </c>
      <c r="D4" s="4" t="n">
        <v>87.59689922480621</v>
      </c>
      <c r="E4" s="4" t="n">
        <v>79.06999999999999</v>
      </c>
      <c r="F4" s="4" t="n">
        <v>5.36</v>
      </c>
      <c r="G4" s="5" t="n">
        <v>0.8844</v>
      </c>
      <c r="H4" s="5" t="n">
        <v>0.7907</v>
      </c>
      <c r="I4" s="5" t="n">
        <v>0.8349</v>
      </c>
      <c r="J4" s="4" t="n">
        <v>84.24000000000001</v>
      </c>
      <c r="K4" s="5" t="n">
        <v>0.5414872836757882</v>
      </c>
      <c r="L4" s="5" t="n">
        <v>0.3694310025746547</v>
      </c>
      <c r="M4" s="4" t="n">
        <v>10.9</v>
      </c>
      <c r="N4" s="4" t="n">
        <v>91.7</v>
      </c>
      <c r="O4" s="6" t="n">
        <v>9.413187000000001</v>
      </c>
      <c r="P4" s="4" t="n">
        <v>21.3</v>
      </c>
      <c r="Q4" s="4" t="n">
        <v>19.19</v>
      </c>
      <c r="R4" s="7" t="n">
        <v>150</v>
      </c>
      <c r="S4" s="7" t="n">
        <v>144</v>
      </c>
      <c r="T4" s="4" t="n">
        <v>39.895</v>
      </c>
    </row>
    <row r="5">
      <c r="A5" s="3" t="inlineStr">
        <is>
          <t>YOLOv8s+CBAM</t>
        </is>
      </c>
      <c r="B5" s="4" t="n">
        <v>55.29715762273901</v>
      </c>
      <c r="C5" s="4" t="n">
        <v>70.54263565891473</v>
      </c>
      <c r="D5" s="4" t="n">
        <v>77.77777777777779</v>
      </c>
      <c r="E5" s="4" t="n">
        <v>52.2</v>
      </c>
      <c r="F5" s="4" t="n">
        <v>4.16</v>
      </c>
      <c r="G5" s="5" t="n">
        <v>0.867</v>
      </c>
      <c r="H5" s="5" t="n">
        <v>0.522</v>
      </c>
      <c r="I5" s="5" t="n">
        <v>0.6516</v>
      </c>
      <c r="J5" s="4" t="n">
        <v>82.95</v>
      </c>
      <c r="K5" s="5" t="n">
        <v>0.5259945698693017</v>
      </c>
      <c r="L5" s="5" t="n">
        <v>0.3458402640330827</v>
      </c>
      <c r="M5" s="8" t="n">
        <v>9.81</v>
      </c>
      <c r="N5" s="8" t="n">
        <v>101.9</v>
      </c>
      <c r="O5" s="6" t="n">
        <v>11.471228</v>
      </c>
      <c r="P5" s="4" t="n">
        <v>28.44</v>
      </c>
      <c r="Q5" s="4" t="n">
        <v>23.23</v>
      </c>
      <c r="R5" s="7" t="n">
        <v>150</v>
      </c>
      <c r="S5" s="7" t="n">
        <v>111</v>
      </c>
      <c r="T5" s="4" t="n">
        <v>46.01166666666666</v>
      </c>
    </row>
    <row r="6">
      <c r="A6" s="3" t="inlineStr">
        <is>
          <t>YOLOv11s+CBAM</t>
        </is>
      </c>
      <c r="B6" s="4" t="n">
        <v>49.35400516795866</v>
      </c>
      <c r="C6" s="4" t="n">
        <v>68.47545219638242</v>
      </c>
      <c r="D6" s="4" t="n">
        <v>76.74418604651163</v>
      </c>
      <c r="E6" s="4" t="n">
        <v>47.03</v>
      </c>
      <c r="F6" s="4" t="n">
        <v>3.62</v>
      </c>
      <c r="G6" s="5" t="n">
        <v>0.8708</v>
      </c>
      <c r="H6" s="5" t="n">
        <v>0.4703</v>
      </c>
      <c r="I6" s="5" t="n">
        <v>0.6107</v>
      </c>
      <c r="J6" s="4" t="n">
        <v>74.16</v>
      </c>
      <c r="K6" s="5" t="n">
        <v>0.555639416192224</v>
      </c>
      <c r="L6" s="5" t="n">
        <v>0.3652608394500622</v>
      </c>
      <c r="M6" s="4" t="n">
        <v>10.31</v>
      </c>
      <c r="N6" s="4" t="n">
        <v>97</v>
      </c>
      <c r="O6" s="6" t="n">
        <v>9.758444000000001</v>
      </c>
      <c r="P6" s="4" t="n">
        <v>21.31</v>
      </c>
      <c r="Q6" s="4" t="n">
        <v>19.89</v>
      </c>
      <c r="R6" s="7" t="n">
        <v>150</v>
      </c>
      <c r="S6" s="7" t="n">
        <v>91</v>
      </c>
      <c r="T6" s="4" t="n">
        <v>50.48833333333334</v>
      </c>
    </row>
    <row r="7">
      <c r="A7" s="3" t="inlineStr">
        <is>
          <t>ResNet18+FPN+CBAM</t>
        </is>
      </c>
      <c r="B7" s="4" t="n">
        <v>68.21705426356588</v>
      </c>
      <c r="C7" s="4" t="n">
        <v>81.91214470284238</v>
      </c>
      <c r="D7" s="4" t="n">
        <v>86.82170542635659</v>
      </c>
      <c r="E7" s="4" t="n">
        <v>78.55</v>
      </c>
      <c r="F7" s="4" t="n">
        <v>8.18</v>
      </c>
      <c r="G7" s="5" t="n">
        <v>0.8329</v>
      </c>
      <c r="H7" s="5" t="n">
        <v>0.7855</v>
      </c>
      <c r="I7" s="5" t="n">
        <v>0.8085</v>
      </c>
      <c r="J7" s="4" t="n">
        <v>81.65000000000001</v>
      </c>
      <c r="K7" s="5" t="n">
        <v>0.5270611170295063</v>
      </c>
      <c r="L7" s="5" t="n">
        <v>0.3279530918914478</v>
      </c>
      <c r="M7" s="4" t="n">
        <v>10.89</v>
      </c>
      <c r="N7" s="4" t="n">
        <v>91.8</v>
      </c>
      <c r="O7" s="6" t="n">
        <v>14.047292</v>
      </c>
      <c r="P7" s="4" t="n">
        <v>46.7</v>
      </c>
      <c r="Q7" s="4" t="n">
        <v>28.32</v>
      </c>
      <c r="R7" s="7" t="n">
        <v>150</v>
      </c>
      <c r="S7" s="7" t="n">
        <v>145</v>
      </c>
      <c r="T7" s="4" t="n">
        <v>52.74333333333333</v>
      </c>
    </row>
    <row r="8">
      <c r="A8" s="3" t="inlineStr">
        <is>
          <t>ResNet18+BiFPN+CBAM</t>
        </is>
      </c>
      <c r="B8" s="4" t="n">
        <v>58.91472868217055</v>
      </c>
      <c r="C8" s="4" t="n">
        <v>73.90180878552972</v>
      </c>
      <c r="D8" s="4" t="n">
        <v>80.36175710594316</v>
      </c>
      <c r="E8" s="4" t="n">
        <v>58.91</v>
      </c>
      <c r="F8" s="4" t="n">
        <v>5.09</v>
      </c>
      <c r="G8" s="5" t="n">
        <v>0.8571</v>
      </c>
      <c r="H8" s="5" t="n">
        <v>0.5891</v>
      </c>
      <c r="I8" s="5" t="n">
        <v>0.6983</v>
      </c>
      <c r="J8" s="4" t="n">
        <v>85.53</v>
      </c>
      <c r="K8" s="5" t="n">
        <v>0.5539518655796878</v>
      </c>
      <c r="L8" s="5" t="n">
        <v>0.3398455077989839</v>
      </c>
      <c r="M8" s="4" t="n">
        <v>10.75</v>
      </c>
      <c r="N8" s="4" t="n">
        <v>93</v>
      </c>
      <c r="O8" s="6" t="n">
        <v>13.304654</v>
      </c>
      <c r="P8" s="4" t="n">
        <v>38.91</v>
      </c>
      <c r="Q8" s="4" t="n">
        <v>26.88</v>
      </c>
      <c r="R8" s="7" t="n">
        <v>150</v>
      </c>
      <c r="S8" s="7" t="n">
        <v>91</v>
      </c>
      <c r="T8" s="4" t="n">
        <v>57.13166666666667</v>
      </c>
    </row>
    <row r="9">
      <c r="A9" s="3" t="inlineStr">
        <is>
          <t>GoogLeNet+FPN+CBAM</t>
        </is>
      </c>
      <c r="B9" s="4" t="n">
        <v>59.43152454780362</v>
      </c>
      <c r="C9" s="4" t="n">
        <v>75.45219638242894</v>
      </c>
      <c r="D9" s="4" t="n">
        <v>79.84496124031007</v>
      </c>
      <c r="E9" s="4" t="n">
        <v>60.47</v>
      </c>
      <c r="F9" s="4" t="n">
        <v>5.23</v>
      </c>
      <c r="G9" s="5" t="n">
        <v>0.8571</v>
      </c>
      <c r="H9" s="5" t="n">
        <v>0.6047</v>
      </c>
      <c r="I9" s="5" t="n">
        <v>0.7091</v>
      </c>
      <c r="J9" s="4" t="n">
        <v>75.97</v>
      </c>
      <c r="K9" s="5" t="n">
        <v>0.5251281192785522</v>
      </c>
      <c r="L9" s="5" t="n">
        <v>0.3103649611348404</v>
      </c>
      <c r="M9" s="4" t="n">
        <v>11.96</v>
      </c>
      <c r="N9" s="4" t="n">
        <v>83.59999999999999</v>
      </c>
      <c r="O9" s="6" t="n">
        <v>8.655004</v>
      </c>
      <c r="P9" s="4" t="n">
        <v>42.46</v>
      </c>
      <c r="Q9" s="4" t="n">
        <v>17.63</v>
      </c>
      <c r="R9" s="7" t="n">
        <v>150</v>
      </c>
      <c r="S9" s="7" t="n">
        <v>48</v>
      </c>
      <c r="T9" s="4" t="n">
        <v>72.99499999999999</v>
      </c>
    </row>
    <row r="10">
      <c r="A10" s="3" t="inlineStr">
        <is>
          <t>GoogLeNet+BiFPN+CBAM</t>
        </is>
      </c>
      <c r="B10" s="4" t="n">
        <v>57.36434108527132</v>
      </c>
      <c r="C10" s="4" t="n">
        <v>69.25064599483204</v>
      </c>
      <c r="D10" s="4" t="n">
        <v>77.51937984496125</v>
      </c>
      <c r="E10" s="4" t="n">
        <v>44.19</v>
      </c>
      <c r="F10" s="4" t="n">
        <v>2.95</v>
      </c>
      <c r="G10" s="5" t="n">
        <v>0.886</v>
      </c>
      <c r="H10" s="5" t="n">
        <v>0.4419</v>
      </c>
      <c r="I10" s="5" t="n">
        <v>0.5897</v>
      </c>
      <c r="J10" s="4" t="n">
        <v>86.05000000000001</v>
      </c>
      <c r="K10" s="5" t="n">
        <v>0.5658900077641488</v>
      </c>
      <c r="L10" s="5" t="n">
        <v>0.3398743140186868</v>
      </c>
      <c r="M10" s="4" t="n">
        <v>12.72</v>
      </c>
      <c r="N10" s="4" t="n">
        <v>78.59999999999999</v>
      </c>
      <c r="O10" s="6" t="n">
        <v>7.912366</v>
      </c>
      <c r="P10" s="4" t="n">
        <v>34.66</v>
      </c>
      <c r="Q10" s="4" t="n">
        <v>16.19</v>
      </c>
      <c r="R10" s="7" t="n">
        <v>150</v>
      </c>
      <c r="S10" s="7" t="n">
        <v>72</v>
      </c>
      <c r="T10" s="4" t="n">
        <v>63.95</v>
      </c>
    </row>
    <row r="11">
      <c r="A11" s="3" t="inlineStr">
        <is>
          <t>EfficientNet+FPN+CBAM</t>
        </is>
      </c>
      <c r="B11" s="4" t="n">
        <v>59.68992248062015</v>
      </c>
      <c r="C11" s="4" t="n">
        <v>76.48578811369508</v>
      </c>
      <c r="D11" s="4" t="n">
        <v>81.65374677002583</v>
      </c>
      <c r="E11" s="4" t="n">
        <v>54.52</v>
      </c>
      <c r="F11" s="4" t="n">
        <v>3.89</v>
      </c>
      <c r="G11" s="5" t="n">
        <v>0.8792</v>
      </c>
      <c r="H11" s="5" t="n">
        <v>0.5452</v>
      </c>
      <c r="I11" s="5" t="n">
        <v>0.673</v>
      </c>
      <c r="J11" s="4" t="n">
        <v>78.55</v>
      </c>
      <c r="K11" s="5" t="n">
        <v>0.5578040569292839</v>
      </c>
      <c r="L11" s="5" t="n">
        <v>0.3497219540483869</v>
      </c>
      <c r="M11" s="4" t="n">
        <v>12.49</v>
      </c>
      <c r="N11" s="4" t="n">
        <v>80.09999999999999</v>
      </c>
      <c r="O11" s="6" t="n">
        <v>6.824056</v>
      </c>
      <c r="P11" s="4" t="n">
        <v>23.46</v>
      </c>
      <c r="Q11" s="4" t="n">
        <v>14.06</v>
      </c>
      <c r="R11" s="7" t="n">
        <v>150</v>
      </c>
      <c r="S11" s="7" t="n">
        <v>84</v>
      </c>
      <c r="T11" s="4" t="n">
        <v>73.29166666666667</v>
      </c>
    </row>
    <row r="12">
      <c r="A12" s="3" t="inlineStr">
        <is>
          <t>EfficientNet+BiFPN+CBAM</t>
        </is>
      </c>
      <c r="B12" s="4" t="n">
        <v>64.85788113695091</v>
      </c>
      <c r="C12" s="4" t="n">
        <v>76.74418604651163</v>
      </c>
      <c r="D12" s="4" t="n">
        <v>82.68733850129199</v>
      </c>
      <c r="E12" s="4" t="n">
        <v>48.84</v>
      </c>
      <c r="F12" s="4" t="n">
        <v>2.82</v>
      </c>
      <c r="G12" s="5" t="n">
        <v>0.9</v>
      </c>
      <c r="H12" s="5" t="n">
        <v>0.4884</v>
      </c>
      <c r="I12" s="5" t="n">
        <v>0.6332</v>
      </c>
      <c r="J12" s="4" t="n">
        <v>78.55</v>
      </c>
      <c r="K12" s="5" t="n">
        <v>0.5778202051904493</v>
      </c>
      <c r="L12" s="5" t="n">
        <v>0.3643605950324255</v>
      </c>
      <c r="M12" s="4" t="n">
        <v>13.96</v>
      </c>
      <c r="N12" s="4" t="n">
        <v>71.59999999999999</v>
      </c>
      <c r="O12" s="9" t="n">
        <v>6.081418</v>
      </c>
      <c r="P12" s="8" t="n">
        <v>15.66</v>
      </c>
      <c r="Q12" s="8" t="n">
        <v>12.62</v>
      </c>
      <c r="R12" s="7" t="n">
        <v>150</v>
      </c>
      <c r="S12" s="7" t="n">
        <v>72</v>
      </c>
      <c r="T12" s="4" t="n">
        <v>155.7916666666667</v>
      </c>
    </row>
    <row r="13">
      <c r="A13" s="3" t="inlineStr">
        <is>
          <t>YOLOv11s+BiFPN+CBAM</t>
        </is>
      </c>
      <c r="B13" s="4" t="n">
        <v>46.51162790697674</v>
      </c>
      <c r="C13" s="4" t="n">
        <v>66.40826873385012</v>
      </c>
      <c r="D13" s="4" t="n">
        <v>74.67700258397933</v>
      </c>
      <c r="E13" s="4" t="n">
        <v>34.11</v>
      </c>
      <c r="F13" s="4" t="n">
        <v>2.82</v>
      </c>
      <c r="G13" s="5" t="n">
        <v>0.8627</v>
      </c>
      <c r="H13" s="5" t="n">
        <v>0.3411</v>
      </c>
      <c r="I13" s="5" t="n">
        <v>0.4889</v>
      </c>
      <c r="J13" s="4" t="n">
        <v>74.16</v>
      </c>
      <c r="K13" s="5" t="n">
        <v>0.5327734509430819</v>
      </c>
      <c r="L13" s="5" t="n">
        <v>0.3420779943819852</v>
      </c>
      <c r="M13" s="4" t="n">
        <v>11.42</v>
      </c>
      <c r="N13" s="4" t="n">
        <v>87.59999999999999</v>
      </c>
      <c r="O13" s="6" t="n">
        <v>6.79939</v>
      </c>
      <c r="P13" s="4" t="n">
        <v>16.96</v>
      </c>
      <c r="Q13" s="4" t="n">
        <v>13.97</v>
      </c>
      <c r="R13" s="7" t="n">
        <v>150</v>
      </c>
      <c r="S13" s="7" t="n">
        <v>106</v>
      </c>
      <c r="T13" s="4" t="n">
        <v>50.68833333333334</v>
      </c>
    </row>
    <row r="14">
      <c r="A14" s="10" t="inlineStr">
        <is>
          <t>Ensemble</t>
        </is>
      </c>
      <c r="B14" s="11" t="n">
        <v>75.96899224806202</v>
      </c>
      <c r="C14" s="8" t="n">
        <v>86.56330749354005</v>
      </c>
      <c r="D14" s="8" t="n">
        <v>89.92248062015504</v>
      </c>
      <c r="E14" s="11" t="n">
        <v>55.81</v>
      </c>
      <c r="F14" s="11" t="n">
        <v>1.34</v>
      </c>
      <c r="G14" s="12" t="n">
        <v>0.9558</v>
      </c>
      <c r="H14" s="12" t="n">
        <v>0.5581</v>
      </c>
      <c r="I14" s="12" t="n">
        <v>0.7047</v>
      </c>
      <c r="J14" s="11" t="n">
        <v>82.95</v>
      </c>
      <c r="K14" s="13" t="inlineStr">
        <is>
          <t>-</t>
        </is>
      </c>
      <c r="L14" s="13" t="inlineStr">
        <is>
          <t>-</t>
        </is>
      </c>
      <c r="M14" s="11" t="n">
        <v>128.74</v>
      </c>
      <c r="N14" s="11" t="n">
        <v>7.8</v>
      </c>
      <c r="O14" s="14" t="n">
        <v>105.39301</v>
      </c>
      <c r="P14" s="13" t="inlineStr">
        <is>
          <t>-</t>
        </is>
      </c>
      <c r="Q14" s="11" t="n">
        <v>214.52</v>
      </c>
      <c r="R14" s="13" t="inlineStr">
        <is>
          <t>-</t>
        </is>
      </c>
      <c r="S14" s="13" t="inlineStr">
        <is>
          <t>-</t>
        </is>
      </c>
      <c r="T14" s="13" t="inlineStr">
        <is>
          <t>-</t>
        </is>
      </c>
    </row>
  </sheetData>
  <autoFilter ref="A2:T14"/>
  <mergeCells count="6">
    <mergeCell ref="B1:D1"/>
    <mergeCell ref="K1:L1"/>
    <mergeCell ref="E1:I1"/>
    <mergeCell ref="R1:T1"/>
    <mergeCell ref="J1"/>
    <mergeCell ref="M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10" customWidth="1" min="1" max="1"/>
  </cols>
  <sheetData>
    <row r="1">
      <c r="A1" s="15" t="inlineStr">
        <is>
          <t>How to read this workbook</t>
        </is>
      </c>
    </row>
    <row r="2" ht="30" customHeight="1">
      <c r="A2" s="16" t="inlineStr"/>
    </row>
    <row r="3">
      <c r="A3" s="15" t="inlineStr">
        <is>
          <t>What is measured</t>
        </is>
      </c>
    </row>
    <row r="4" ht="30" customHeight="1">
      <c r="A4" s="16" t="inlineStr">
        <is>
          <t>Image-level screening. A photograph containing e-waste counts as detected when the model raises any detection in it; a photograph of organic waste counts as a false alarm when it does. Where the box lands is not measured and not claimed.</t>
        </is>
      </c>
    </row>
    <row r="5" ht="30" customHeight="1">
      <c r="A5" s="16" t="inlineStr"/>
    </row>
    <row r="6">
      <c r="A6" s="15" t="inlineStr">
        <is>
          <t>Detection at matched false alarms</t>
        </is>
      </c>
    </row>
    <row r="7" ht="30" customHeight="1">
      <c r="A7" s="16" t="inlineStr">
        <is>
          <t>The columns to compare architectures on. Every arm is read at the same false-alarm budget -- the best detection rate its sweep reaches without exceeding 5, 10 or 15% false alarms -- so differences are attributable to the model. The budget is met using the test set's own false-alarm rate, so this is a comparison protocol, not an operating point anyone could have set in advance.</t>
        </is>
      </c>
    </row>
    <row r="8" ht="30" customHeight="1">
      <c r="A8" s="16" t="inlineStr"/>
    </row>
    <row r="9">
      <c r="A9" s="15" t="inlineStr">
        <is>
          <t>Why the synthetic-threshold columns are not a comparison</t>
        </is>
      </c>
    </row>
    <row r="10" ht="30" customHeight="1">
      <c r="A10" s="16" t="inlineStr">
        <is>
          <t>Each arm's threshold is the argmax of its F1 curve on synthetic validation. Those curves are nearly flat -- 0.10 to 0.30 wide within 0.02 of the peak, even on leak-free real data -- so where the argmax lands is close to arbitrary. An arm whose threshold landed low looks strong on detection and weak on false alarms, and the reverse. These columns are what a deployment without real calibration data would get, and are not ranked.</t>
        </is>
      </c>
    </row>
    <row r="11" ht="30" customHeight="1">
      <c r="A11" s="16" t="inlineStr"/>
    </row>
    <row r="12">
      <c r="A12" s="15" t="inlineStr">
        <is>
          <t>Oracle detection %</t>
        </is>
      </c>
    </row>
    <row r="13" ht="30" customHeight="1">
      <c r="A13" s="16" t="inlineStr">
        <is>
          <t>Detection at the threshold that maximises F1 on the test set itself. An upper bound that assumes the answer is already known, not a result.</t>
        </is>
      </c>
    </row>
    <row r="14" ht="30" customHeight="1">
      <c r="A14" s="16" t="inlineStr"/>
    </row>
    <row r="15">
      <c r="A15" s="15" t="inlineStr">
        <is>
          <t>Precision, recall and F1</t>
        </is>
      </c>
    </row>
    <row r="16" ht="30" customHeight="1">
      <c r="A16" s="16" t="inlineStr">
        <is>
          <t>These depend on the ratio of positives to negatives in the test split, an artefact of how it was drawn rather than a real rate of contamination. Detection and false-alarm rate do not.</t>
        </is>
      </c>
    </row>
    <row r="17" ht="30" customHeight="1">
      <c r="A17" s="16" t="inlineStr"/>
    </row>
    <row r="18">
      <c r="A18" s="15" t="inlineStr">
        <is>
          <t>mAP columns</t>
        </is>
      </c>
    </row>
    <row r="19" ht="30" customHeight="1">
      <c r="A19" s="16" t="inlineStr">
        <is>
          <t>Measured on synthetic validation composites, not on real photographs. They describe box quality on the training distribution and are not ranked.</t>
        </is>
      </c>
    </row>
    <row r="20" ht="30" customHeight="1">
      <c r="A20" s="16" t="inlineStr"/>
    </row>
    <row r="21">
      <c r="A21" s="15" t="inlineStr">
        <is>
          <t>Training</t>
        </is>
      </c>
    </row>
    <row r="22" ht="30" customHeight="1">
      <c r="A22" s="16" t="inlineStr">
        <is>
          <t>Every arm trains on one fixed schedule -- the same number of epochs, batch 16, seed 0, no early stopping -- and keeps the checkpoint that scored best on held-out synthetic validation. The learning rate decays linearly to the last epoch and mosaic augmentation switches off for the final 15, so a best epoch near the end is the schedule working as designed, not a sign the run was cut short.</t>
        </is>
      </c>
    </row>
    <row r="23" ht="30" customHeight="1">
      <c r="A23" s="16" t="inlineStr"/>
    </row>
    <row r="24">
      <c r="A24" s="15" t="inlineStr">
        <is>
          <t>Cost</t>
        </is>
      </c>
    </row>
    <row r="25" ht="30" customHeight="1">
      <c r="A25" s="16" t="inlineStr">
        <is>
          <t>Latency is measured for every arm in one interleaved sitting and reported as the fastest round, since contention only adds time. The ranking is reproducible across sittings; the absolute level moves about 5% with machine state. FLOPs do not predict latency on this hardware: the arm with the fewest GFLOPs is among the slowest, because depthwise-separable convolutions are bandwidth-bound. Parameter counts are after Conv-BN fusion, about 0.2% below the figures Ultralytics quotes.</t>
        </is>
      </c>
    </row>
    <row r="26" ht="30" customHeight="1">
      <c r="A26" s="16" t="inlineStr"/>
    </row>
    <row r="27">
      <c r="A27" s="15" t="inlineStr">
        <is>
          <t>Ensemble</t>
        </is>
      </c>
    </row>
    <row r="28" ht="30" customHeight="1">
      <c r="A28" s="16" t="inlineStr">
        <is>
          <t>Weighted box fusion over all members, weights from synthetic validation F1. Those F1 values are nearly identical across arms, so the weights are close to uniform and the ensemble is effectively unweighted. Its cost row is the sum over members.</t>
        </is>
      </c>
    </row>
    <row r="29" ht="30" customHeight="1">
      <c r="A29" s="16" t="inlineStr"/>
    </row>
    <row r="30">
      <c r="A30" s="15" t="inlineStr">
        <is>
          <t>Highlighting</t>
        </is>
      </c>
    </row>
    <row r="31" ht="30" customHeight="1">
      <c r="A31" s="16" t="inlineStr">
        <is>
          <t>A shaded cell leads its column. Only the matched-false-alarm and cost columns are ranked. Differences under about four points are inside the Wilson intervals of this test set; treat them as 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2026-09-30T16:16:13Z</dcterms:created>
  <dcterms:modified xmlns:dcterms="http://purl.org/dc/terms/" xmlns:xsi="http://www.w3.org/2001/XMLSchema-instance" xsi:type="dcterms:W3CDTF">2026-09-30T16:16:13Z</dcterms:modified>
</cp:coreProperties>
</file>